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ydeep Ayachit\Downloads\"/>
    </mc:Choice>
  </mc:AlternateContent>
  <xr:revisionPtr revIDLastSave="0" documentId="13_ncr:1_{8F0B0355-A6AA-4346-AC70-BE65AC2FD5C1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tart" sheetId="13" r:id="rId1"/>
    <sheet name="Details" sheetId="11" r:id="rId2"/>
    <sheet name="Actuals" sheetId="2" r:id="rId3"/>
    <sheet name="Projections" sheetId="1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11" l="1"/>
  <c r="J18" i="11" s="1"/>
  <c r="G18" i="11"/>
  <c r="I17" i="11"/>
  <c r="J17" i="11" s="1"/>
  <c r="G17" i="11"/>
  <c r="I16" i="11"/>
  <c r="J16" i="11" s="1"/>
  <c r="G16" i="11"/>
  <c r="I15" i="11"/>
  <c r="J15" i="11" s="1"/>
  <c r="G15" i="11"/>
  <c r="I14" i="11"/>
  <c r="J14" i="11" s="1"/>
  <c r="G14" i="11"/>
  <c r="I13" i="11"/>
  <c r="J13" i="11" s="1"/>
  <c r="G13" i="11"/>
  <c r="I12" i="11"/>
  <c r="J12" i="11" s="1"/>
  <c r="G12" i="11"/>
  <c r="I11" i="11"/>
  <c r="J11" i="11" s="1"/>
  <c r="G11" i="11"/>
  <c r="I10" i="11"/>
  <c r="J10" i="11" s="1"/>
  <c r="G10" i="11"/>
  <c r="P3" i="1"/>
  <c r="L3" i="2"/>
  <c r="K3" i="2"/>
  <c r="J3" i="2"/>
  <c r="I3" i="2"/>
  <c r="H3" i="2"/>
  <c r="G3" i="2"/>
  <c r="F3" i="2"/>
  <c r="E3" i="2"/>
  <c r="D3" i="2"/>
  <c r="O3" i="1"/>
  <c r="N3" i="1"/>
  <c r="M3" i="1"/>
  <c r="L3" i="1"/>
  <c r="K3" i="1"/>
  <c r="J3" i="1"/>
  <c r="I3" i="1"/>
  <c r="H3" i="1"/>
  <c r="H20" i="11"/>
  <c r="F18" i="11"/>
  <c r="F17" i="11"/>
  <c r="F16" i="11"/>
  <c r="F15" i="11"/>
  <c r="F14" i="11"/>
  <c r="F13" i="11"/>
  <c r="F12" i="11"/>
  <c r="F11" i="11"/>
  <c r="F10" i="11"/>
  <c r="AC3" i="1"/>
  <c r="AD3" i="1"/>
  <c r="AB3" i="1"/>
  <c r="AA3" i="1"/>
  <c r="Z3" i="1"/>
  <c r="R3" i="1"/>
  <c r="G20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tc={B5B96BC0-3CE9-41FB-B7E9-C4BCB0B05574}</author>
    <author>tc={D6F97FBE-9E58-4C47-8D07-5F3F1FD43006}</author>
    <author>tc={545C8CE1-EE28-44DA-BC61-55EA278EB447}</author>
    <author>tc={256B1983-7B51-4B7D-97A4-91C4FCB25D96}</author>
  </authors>
  <commentList>
    <comment ref="D3" authorId="0" shapeId="0" xr:uid="{B5B96BC0-3CE9-41FB-B7E9-C4BCB0B0557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Income received from rental property</t>
      </text>
    </comment>
    <comment ref="E3" authorId="1" shapeId="0" xr:uid="{D6F97FBE-9E58-4C47-8D07-5F3F1FD43006}">
      <text>
        <t>[Threaded comment]
Your version of Excel allows you to read this threaded comment; however, any edits to it will get removed if the file is opened in a newer version of Excel. Learn more: https://go.microsoft.com/fwlink/?linkid=870924
Comment:
    Income received from rental property</t>
      </text>
    </comment>
    <comment ref="F3" authorId="2" shapeId="0" xr:uid="{545C8CE1-EE28-44DA-BC61-55EA278EB447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Insurance policy, mention money back amount, maturity amount and bonus amount as appropriate for respective FY</t>
      </text>
    </comment>
    <comment ref="G3" authorId="3" shapeId="0" xr:uid="{256B1983-7B51-4B7D-97A4-91C4FCB25D9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Insurance policy, mention money back amount, maturity amount and bonus amount as appropriate for respective FY</t>
      </text>
    </comment>
  </commentList>
</comments>
</file>

<file path=xl/sharedStrings.xml><?xml version="1.0" encoding="utf-8"?>
<sst xmlns="http://schemas.openxmlformats.org/spreadsheetml/2006/main" count="148" uniqueCount="76">
  <si>
    <t>Estimated Balance</t>
  </si>
  <si>
    <t>Year</t>
  </si>
  <si>
    <t>Age Self</t>
  </si>
  <si>
    <t>Mutual funds</t>
  </si>
  <si>
    <t>Superannuation</t>
  </si>
  <si>
    <t>Bonds/NCDs</t>
  </si>
  <si>
    <t>Salary</t>
  </si>
  <si>
    <t>Household expenses</t>
  </si>
  <si>
    <t>Gold ETF</t>
  </si>
  <si>
    <t>NPS</t>
  </si>
  <si>
    <t>Education</t>
  </si>
  <si>
    <t>Increase (Amount)</t>
  </si>
  <si>
    <t>Increase %</t>
  </si>
  <si>
    <t>Proposed %</t>
  </si>
  <si>
    <t>Proposed (amount)</t>
  </si>
  <si>
    <t>Change (amount)</t>
  </si>
  <si>
    <t>Gratuity</t>
  </si>
  <si>
    <t>Employee provident fund</t>
  </si>
  <si>
    <t>Estimated Incomes</t>
  </si>
  <si>
    <t>Equity</t>
  </si>
  <si>
    <t>Estimated Expenses</t>
  </si>
  <si>
    <t>Your name</t>
  </si>
  <si>
    <t>Your age</t>
  </si>
  <si>
    <t>Basic information</t>
  </si>
  <si>
    <t>Public provident fund</t>
  </si>
  <si>
    <t>Current balances</t>
  </si>
  <si>
    <t>Instructions</t>
  </si>
  <si>
    <t>Projections till age</t>
  </si>
  <si>
    <t>Insurance policy bonus</t>
  </si>
  <si>
    <t>ROI by which your investments will increase</t>
  </si>
  <si>
    <t>Type</t>
  </si>
  <si>
    <t>Current value</t>
  </si>
  <si>
    <t>Name</t>
  </si>
  <si>
    <t>Bank account</t>
  </si>
  <si>
    <t>Fixed deposit</t>
  </si>
  <si>
    <t>Supperannuation &amp; Gratuity</t>
  </si>
  <si>
    <t>My PPF account</t>
  </si>
  <si>
    <t>Spouse PPF account</t>
  </si>
  <si>
    <t>Deposit 1 - Monthly interest</t>
  </si>
  <si>
    <t>Deposit 2 - Quarterly interest</t>
  </si>
  <si>
    <t>Deposit 3 - Yearly interest</t>
  </si>
  <si>
    <t>Deposit 4 - Reinvestment</t>
  </si>
  <si>
    <t>Assets</t>
  </si>
  <si>
    <t>Balance</t>
  </si>
  <si>
    <r>
      <t xml:space="preserve">1. Provide your name, current age and age upto which you need projections. Click on </t>
    </r>
    <r>
      <rPr>
        <b/>
        <sz val="10"/>
        <color rgb="FF000000"/>
        <rFont val="Calibri"/>
        <family val="2"/>
      </rPr>
      <t>Go</t>
    </r>
  </si>
  <si>
    <t xml:space="preserve">For projections - </t>
  </si>
  <si>
    <t>Rental property {Name 1}</t>
  </si>
  <si>
    <t>Rental property {Name 2}</t>
  </si>
  <si>
    <t>Insurance policy {Name 1}</t>
  </si>
  <si>
    <t>Insurance policy {Name 2}</t>
  </si>
  <si>
    <t>Percent by which your expenses will increase</t>
  </si>
  <si>
    <t>Loan EMI {Name 1}</t>
  </si>
  <si>
    <t>Loan EMI {Name 2}</t>
  </si>
  <si>
    <t>Loan EMI {Name 3}</t>
  </si>
  <si>
    <t>Insurance premium {Name 1}</t>
  </si>
  <si>
    <t>Insurance premium {Name 2}</t>
  </si>
  <si>
    <t>Insurance premium {Name 3}</t>
  </si>
  <si>
    <t>Loan EMI</t>
  </si>
  <si>
    <t>Insurance</t>
  </si>
  <si>
    <r>
      <t>2. Provide current asset details in "</t>
    </r>
    <r>
      <rPr>
        <b/>
        <sz val="10"/>
        <color rgb="FF000000"/>
        <rFont val="Calibri"/>
        <family val="2"/>
      </rPr>
      <t>Details"</t>
    </r>
    <r>
      <rPr>
        <sz val="10"/>
        <color rgb="FF000000"/>
        <rFont val="Calibri"/>
        <family val="2"/>
      </rPr>
      <t xml:space="preserve"> tab</t>
    </r>
  </si>
  <si>
    <t>Household</t>
  </si>
  <si>
    <t>John</t>
  </si>
  <si>
    <t>Name here</t>
  </si>
  <si>
    <t>Rental property</t>
  </si>
  <si>
    <r>
      <t xml:space="preserve">1. Adjust the ROI by which you expect your investments would grow in columns </t>
    </r>
    <r>
      <rPr>
        <b/>
        <sz val="10"/>
        <color rgb="FF000000"/>
        <rFont val="Calibri"/>
        <family val="2"/>
      </rPr>
      <t>E and F</t>
    </r>
  </si>
  <si>
    <r>
      <t xml:space="preserve">2. Adjust the percentage by which you expect your expenses will increase in columns </t>
    </r>
    <r>
      <rPr>
        <b/>
        <sz val="10"/>
        <color rgb="FF000000"/>
        <rFont val="Calibri"/>
        <family val="2"/>
      </rPr>
      <t>H and I</t>
    </r>
  </si>
  <si>
    <r>
      <t xml:space="preserve">1. Enter values in </t>
    </r>
    <r>
      <rPr>
        <b/>
        <sz val="10"/>
        <color rgb="FF000000"/>
        <rFont val="Calibri"/>
        <family val="2"/>
      </rPr>
      <t>Green</t>
    </r>
    <r>
      <rPr>
        <sz val="10"/>
        <color rgb="FF000000"/>
        <rFont val="Calibri"/>
        <family val="2"/>
      </rPr>
      <t xml:space="preserve"> cells only</t>
    </r>
  </si>
  <si>
    <t>2.For each of the asset type, by default 5 rows are included</t>
  </si>
  <si>
    <t>Total</t>
  </si>
  <si>
    <t>Current %</t>
  </si>
  <si>
    <t>Your current asset allocation in overall portfolio is as follows</t>
  </si>
  <si>
    <t>Asset type</t>
  </si>
  <si>
    <t>1. Update Proposed % to identify amount/funds to be re-distributed among different asset classes</t>
  </si>
  <si>
    <r>
      <t>3. Keep track of actual expenses separately and provide the values in "</t>
    </r>
    <r>
      <rPr>
        <b/>
        <sz val="10"/>
        <color rgb="FF000000"/>
        <rFont val="Calibri"/>
        <family val="2"/>
      </rPr>
      <t>Projections</t>
    </r>
    <r>
      <rPr>
        <sz val="10"/>
        <color rgb="FF000000"/>
        <rFont val="Calibri"/>
        <family val="2"/>
      </rPr>
      <t xml:space="preserve">" sheet from columns </t>
    </r>
    <r>
      <rPr>
        <b/>
        <sz val="10"/>
        <color rgb="FF000000"/>
        <rFont val="Calibri"/>
        <family val="2"/>
      </rPr>
      <t>R to AD</t>
    </r>
  </si>
  <si>
    <r>
      <t xml:space="preserve">4. Decide a frequency at which you would update your asset values in </t>
    </r>
    <r>
      <rPr>
        <b/>
        <sz val="10"/>
        <color rgb="FF000000"/>
        <rFont val="Calibri"/>
        <family val="2"/>
      </rPr>
      <t xml:space="preserve">"Details" </t>
    </r>
    <r>
      <rPr>
        <sz val="10"/>
        <color rgb="FF000000"/>
        <rFont val="Calibri"/>
        <family val="2"/>
      </rPr>
      <t>sheet. It could be Monthly, Quarterly, Yearly or any other convinient frequency</t>
    </r>
  </si>
  <si>
    <t>5. When the financial year changes, the calculator will freeze values for the last financial year. This way you have a year-on-year view of the assets.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</si>
</sst>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[$₹]#,##0.00"/>
    <numFmt numFmtId="165" formatCode="_ [$₹-439]* #,##0.00_ ;_ [$₹-439]* \-#,##0.00_ ;_ [$₹-439]* &quot;-&quot;??_ ;_ @_ "/>
    <numFmt numFmtId="166" formatCode="0.0%"/>
  </numFmts>
  <fonts count="11" x14ac:knownFonts="1">
    <font>
      <sz val="10"/>
      <color rgb="FF000000"/>
      <name val="Arial"/>
      <scheme val="minor"/>
    </font>
    <font>
      <sz val="8"/>
      <name val="Arial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b/>
      <sz val="10"/>
      <name val="Calibri"/>
      <family val="2"/>
    </font>
    <font>
      <sz val="10"/>
      <color theme="0"/>
      <name val="Calibri"/>
      <family val="2"/>
    </font>
    <font>
      <b/>
      <sz val="10"/>
      <color theme="1"/>
      <name val="Calibri"/>
      <family val="2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D3B66"/>
        <bgColor indexed="64"/>
      </patternFill>
    </fill>
    <fill>
      <patternFill patternType="solid">
        <fgColor rgb="FFF4D35E"/>
        <bgColor indexed="64"/>
      </patternFill>
    </fill>
    <fill>
      <patternFill patternType="solid">
        <fgColor rgb="FFF4D35E"/>
        <bgColor rgb="FF00B0F0"/>
      </patternFill>
    </fill>
    <fill>
      <patternFill patternType="solid">
        <fgColor rgb="FF0D3B66"/>
        <bgColor rgb="FF92D050"/>
      </patternFill>
    </fill>
    <fill>
      <patternFill patternType="solid">
        <fgColor theme="8" tint="0.59999389629810485"/>
        <bgColor rgb="FFFF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8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37">
    <xf numFmtId="0" fontId="0" fillId="0" borderId="0" xfId="0"/>
    <xf numFmtId="0" fontId="3" fillId="0" borderId="0" xfId="0" applyFont="1"/>
    <xf numFmtId="0" fontId="3" fillId="0" borderId="0" xfId="0" applyFont="1" applyAlignment="1">
      <alignment vertical="top"/>
    </xf>
    <xf numFmtId="0" fontId="4" fillId="2" borderId="0" xfId="0" applyFont="1" applyFill="1"/>
    <xf numFmtId="0" fontId="3" fillId="0" borderId="0" xfId="0" applyFont="1" applyAlignment="1">
      <alignment vertical="top" wrapText="1"/>
    </xf>
    <xf numFmtId="3" fontId="3" fillId="0" borderId="0" xfId="0" applyNumberFormat="1" applyFont="1" applyAlignment="1">
      <alignment vertical="top"/>
    </xf>
    <xf numFmtId="3" fontId="6" fillId="5" borderId="0" xfId="0" applyNumberFormat="1" applyFont="1" applyFill="1" applyAlignment="1">
      <alignment vertical="top" wrapText="1"/>
    </xf>
    <xf numFmtId="0" fontId="3" fillId="6" borderId="0" xfId="0" applyFont="1" applyFill="1" applyAlignment="1">
      <alignment vertical="top" wrapText="1"/>
    </xf>
    <xf numFmtId="0" fontId="2" fillId="0" borderId="0" xfId="0" applyFont="1"/>
    <xf numFmtId="166" fontId="3" fillId="7" borderId="0" xfId="0" applyNumberFormat="1" applyFont="1" applyFill="1" applyProtection="1">
      <protection locked="0"/>
    </xf>
    <xf numFmtId="0" fontId="3" fillId="7" borderId="0" xfId="0" applyFont="1" applyFill="1" applyAlignment="1" applyProtection="1">
      <alignment horizontal="right"/>
      <protection locked="0"/>
    </xf>
    <xf numFmtId="0" fontId="3" fillId="7" borderId="0" xfId="0" applyFont="1" applyFill="1" applyProtection="1">
      <protection locked="0"/>
    </xf>
    <xf numFmtId="164" fontId="3" fillId="7" borderId="0" xfId="0" applyNumberFormat="1" applyFont="1" applyFill="1" applyAlignment="1" applyProtection="1">
      <alignment horizontal="right"/>
      <protection locked="0"/>
    </xf>
    <xf numFmtId="0" fontId="5" fillId="3" borderId="0" xfId="0" applyFont="1" applyFill="1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3" fontId="3" fillId="0" borderId="0" xfId="1" applyNumberFormat="1" applyFont="1"/>
    <xf numFmtId="3" fontId="3" fillId="0" borderId="0" xfId="0" applyNumberFormat="1" applyFont="1"/>
    <xf numFmtId="0" fontId="10" fillId="3" borderId="0" xfId="0" applyFont="1" applyFill="1"/>
    <xf numFmtId="165" fontId="3" fillId="0" borderId="0" xfId="0" applyNumberFormat="1" applyFont="1"/>
    <xf numFmtId="10" fontId="3" fillId="7" borderId="0" xfId="0" applyNumberFormat="1" applyFont="1" applyFill="1" applyProtection="1">
      <protection locked="0"/>
    </xf>
    <xf numFmtId="9" fontId="3" fillId="0" borderId="0" xfId="2" applyFont="1" applyBorder="1" applyProtection="1"/>
    <xf numFmtId="9" fontId="2" fillId="0" borderId="0" xfId="0" applyNumberFormat="1" applyFont="1"/>
    <xf numFmtId="0" fontId="2" fillId="0" borderId="0" xfId="0" applyFont="1" applyAlignment="1">
      <alignment horizontal="right"/>
    </xf>
    <xf numFmtId="166" fontId="3" fillId="8" borderId="0" xfId="0" applyNumberFormat="1" applyFont="1" applyFill="1" applyProtection="1">
      <protection locked="0"/>
    </xf>
    <xf numFmtId="0" fontId="3" fillId="0" borderId="0" xfId="0" applyFont="1" applyProtection="1">
      <protection locked="0"/>
    </xf>
    <xf numFmtId="3" fontId="3" fillId="0" borderId="0" xfId="1" applyNumberFormat="1" applyFont="1" applyProtection="1">
      <protection locked="0"/>
    </xf>
    <xf numFmtId="3" fontId="2" fillId="4" borderId="0" xfId="0" applyNumberFormat="1" applyFont="1" applyFill="1" applyAlignment="1">
      <alignment horizontal="center" vertical="top"/>
    </xf>
    <xf numFmtId="3" fontId="5" fillId="3" borderId="0" xfId="0" applyNumberFormat="1" applyFont="1" applyFill="1" applyAlignment="1">
      <alignment vertical="top"/>
    </xf>
    <xf numFmtId="3" fontId="2" fillId="4" borderId="0" xfId="0" applyNumberFormat="1" applyFont="1" applyFill="1" applyAlignment="1">
      <alignment horizontal="center" vertical="top" wrapText="1"/>
    </xf>
    <xf numFmtId="3" fontId="5" fillId="3" borderId="0" xfId="0" applyNumberFormat="1" applyFont="1" applyFill="1" applyAlignment="1">
      <alignment vertical="top" wrapText="1"/>
    </xf>
    <xf numFmtId="0" fontId="2" fillId="4" borderId="0" xfId="0" applyFont="1" applyFill="1" applyAlignment="1">
      <alignment horizontal="center" vertical="top"/>
    </xf>
    <xf numFmtId="0" fontId="5" fillId="3" borderId="0" xfId="0" applyFont="1" applyFill="1" applyAlignment="1">
      <alignment vertical="top"/>
    </xf>
    <xf numFmtId="0" fontId="4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top"/>
    </xf>
    <xf numFmtId="0" fontId="2" fillId="6" borderId="0" xfId="0" applyFont="1" applyFill="1" applyAlignment="1">
      <alignment horizontal="center" vertical="top"/>
    </xf>
    <xf numFmtId="0" fontId="4" fillId="2" borderId="0" xfId="0" applyFont="1" applyFill="1" applyAlignment="1">
      <alignment horizontal="center" vertical="top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D3B66"/>
      <color rgb="FFF4D35E"/>
      <color rgb="FF6AAEEC"/>
      <color rgb="FF145B9C"/>
      <color rgb="FFFAF0CA"/>
      <color rgb="FFFBF6EF"/>
      <color rgb="FFEAD7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5</xdr:row>
          <xdr:rowOff>158750</xdr:rowOff>
        </xdr:from>
        <xdr:to>
          <xdr:col>1</xdr:col>
          <xdr:colOff>914400</xdr:colOff>
          <xdr:row>7</xdr:row>
          <xdr:rowOff>44450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5</xdr:row>
          <xdr:rowOff>152400</xdr:rowOff>
        </xdr:from>
        <xdr:to>
          <xdr:col>2</xdr:col>
          <xdr:colOff>603250</xdr:colOff>
          <xdr:row>7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ydeep Vijay Ayachit" id="{74829055-1DB0-4B8D-8EC7-E3604B4178D9}" userId="S::ayachitjv23.comp@coeptech.ac.in::80e6c71e-c42a-4fa8-b10a-d5985eb38d93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5-02-04T11:06:32.98" personId="{74829055-1DB0-4B8D-8EC7-E3604B4178D9}" id="{B5B96BC0-3CE9-41FB-B7E9-C4BCB0B05574}">
    <text>Income received from rental property</text>
  </threadedComment>
  <threadedComment ref="E3" dT="2025-02-04T11:06:39.02" personId="{74829055-1DB0-4B8D-8EC7-E3604B4178D9}" id="{D6F97FBE-9E58-4C47-8D07-5F3F1FD43006}">
    <text>Income received from rental property</text>
  </threadedComment>
  <threadedComment ref="F3" dT="2025-02-04T11:05:56.57" personId="{74829055-1DB0-4B8D-8EC7-E3604B4178D9}" id="{545C8CE1-EE28-44DA-BC61-55EA278EB447}">
    <text>For Insurance policy, mention money back amount, maturity amount and bonus amount as appropriate for respective FY</text>
  </threadedComment>
  <threadedComment ref="G3" dT="2025-02-04T11:06:03.15" personId="{74829055-1DB0-4B8D-8EC7-E3604B4178D9}" id="{256B1983-7B51-4B7D-97A4-91C4FCB25D96}">
    <text>For Insurance policy, mention money back amount, maturity amount and bonus amount as appropriate for respective FY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2A5A-8DBB-44E5-A98E-423D190721FF}">
  <sheetPr codeName="Sheet1"/>
  <dimension ref="B2:I24"/>
  <sheetViews>
    <sheetView tabSelected="1" zoomScaleNormal="100" workbookViewId="0">
      <selection activeCell="C3" sqref="C3"/>
    </sheetView>
  </sheetViews>
  <sheetFormatPr defaultRowHeight="13" x14ac:dyDescent="0.3"/>
  <cols>
    <col min="1" max="1" width="2.6328125" style="1" customWidth="1"/>
    <col min="2" max="2" width="20.6328125" style="1" bestFit="1" customWidth="1"/>
    <col min="3" max="3" width="8.7265625" style="1"/>
    <col min="4" max="4" width="4.26953125" style="1" customWidth="1"/>
    <col min="5" max="5" width="34.90625" style="1" bestFit="1" customWidth="1"/>
    <col min="6" max="6" width="7.90625" style="1" customWidth="1"/>
    <col min="7" max="7" width="4.36328125" style="1" customWidth="1"/>
    <col min="8" max="8" width="29.90625" style="1" customWidth="1"/>
    <col min="9" max="9" width="11.90625" style="1" customWidth="1"/>
    <col min="10" max="52" width="8.7265625" style="1"/>
    <col min="53" max="53" width="22.81640625" style="1" bestFit="1" customWidth="1"/>
    <col min="54" max="16384" width="8.7265625" style="1"/>
  </cols>
  <sheetData>
    <row r="2" spans="2:9" x14ac:dyDescent="0.3">
      <c r="B2" s="3" t="s">
        <v>23</v>
      </c>
      <c r="C2" s="3"/>
      <c r="E2" s="3" t="s">
        <v>29</v>
      </c>
      <c r="F2" s="3"/>
      <c r="H2" s="3" t="s">
        <v>50</v>
      </c>
      <c r="I2" s="3"/>
    </row>
    <row r="3" spans="2:9" x14ac:dyDescent="0.3">
      <c r="B3" s="1" t="s">
        <v>21</v>
      </c>
      <c r="C3" s="10" t="s">
        <v>61</v>
      </c>
      <c r="E3" s="1" t="s">
        <v>63</v>
      </c>
      <c r="F3" s="9">
        <v>0.1</v>
      </c>
      <c r="H3" s="1" t="s">
        <v>57</v>
      </c>
      <c r="I3" s="24">
        <v>0</v>
      </c>
    </row>
    <row r="4" spans="2:9" x14ac:dyDescent="0.3">
      <c r="B4" s="1" t="s">
        <v>22</v>
      </c>
      <c r="C4" s="11">
        <v>45</v>
      </c>
      <c r="E4" s="1" t="s">
        <v>33</v>
      </c>
      <c r="F4" s="9">
        <v>0.04</v>
      </c>
      <c r="H4" s="1" t="s">
        <v>58</v>
      </c>
      <c r="I4" s="24">
        <v>0</v>
      </c>
    </row>
    <row r="5" spans="2:9" x14ac:dyDescent="0.3">
      <c r="B5" s="1" t="s">
        <v>27</v>
      </c>
      <c r="C5" s="11">
        <v>60</v>
      </c>
      <c r="E5" s="1" t="s">
        <v>34</v>
      </c>
      <c r="F5" s="9">
        <v>7.0000000000000007E-2</v>
      </c>
      <c r="H5" s="1" t="s">
        <v>60</v>
      </c>
      <c r="I5" s="24">
        <v>0.06</v>
      </c>
    </row>
    <row r="6" spans="2:9" x14ac:dyDescent="0.3">
      <c r="E6" s="1" t="s">
        <v>19</v>
      </c>
      <c r="F6" s="9">
        <v>0.08</v>
      </c>
      <c r="H6" s="1" t="s">
        <v>3</v>
      </c>
      <c r="I6" s="24">
        <v>0.05</v>
      </c>
    </row>
    <row r="7" spans="2:9" x14ac:dyDescent="0.3">
      <c r="E7" s="1" t="s">
        <v>3</v>
      </c>
      <c r="F7" s="9">
        <v>0.1</v>
      </c>
      <c r="H7" s="1" t="s">
        <v>8</v>
      </c>
      <c r="I7" s="24">
        <v>0.05</v>
      </c>
    </row>
    <row r="8" spans="2:9" x14ac:dyDescent="0.3">
      <c r="E8" s="1" t="s">
        <v>35</v>
      </c>
      <c r="F8" s="9">
        <v>0.06</v>
      </c>
      <c r="H8" s="1" t="s">
        <v>9</v>
      </c>
      <c r="I8" s="24">
        <v>0.05</v>
      </c>
    </row>
    <row r="9" spans="2:9" x14ac:dyDescent="0.3">
      <c r="E9" s="1" t="s">
        <v>24</v>
      </c>
      <c r="F9" s="9">
        <v>7.0999999999999994E-2</v>
      </c>
      <c r="H9" s="1" t="s">
        <v>10</v>
      </c>
      <c r="I9" s="24">
        <v>0.1</v>
      </c>
    </row>
    <row r="10" spans="2:9" x14ac:dyDescent="0.3">
      <c r="E10" s="1" t="s">
        <v>17</v>
      </c>
      <c r="F10" s="9">
        <v>8.1000000000000003E-2</v>
      </c>
      <c r="H10" s="1" t="s">
        <v>24</v>
      </c>
      <c r="I10" s="24">
        <v>0.05</v>
      </c>
    </row>
    <row r="11" spans="2:9" x14ac:dyDescent="0.3">
      <c r="E11" s="1" t="s">
        <v>5</v>
      </c>
      <c r="F11" s="9">
        <v>0.09</v>
      </c>
      <c r="H11" s="1" t="s">
        <v>5</v>
      </c>
      <c r="I11" s="24">
        <v>0.05</v>
      </c>
    </row>
    <row r="12" spans="2:9" x14ac:dyDescent="0.3">
      <c r="E12" s="1" t="s">
        <v>8</v>
      </c>
      <c r="F12" s="9">
        <v>0.05</v>
      </c>
    </row>
    <row r="13" spans="2:9" x14ac:dyDescent="0.3">
      <c r="E13" s="1" t="s">
        <v>6</v>
      </c>
      <c r="F13" s="9">
        <v>0.05</v>
      </c>
    </row>
    <row r="15" spans="2:9" x14ac:dyDescent="0.3">
      <c r="B15" s="3" t="s">
        <v>26</v>
      </c>
      <c r="C15" s="3"/>
      <c r="D15" s="3"/>
      <c r="E15" s="3"/>
      <c r="F15" s="3"/>
      <c r="G15" s="3"/>
      <c r="H15" s="3"/>
      <c r="I15" s="3"/>
    </row>
    <row r="16" spans="2:9" x14ac:dyDescent="0.3">
      <c r="B16" s="1" t="s">
        <v>44</v>
      </c>
    </row>
    <row r="17" spans="2:2" x14ac:dyDescent="0.3">
      <c r="B17" s="1" t="s">
        <v>59</v>
      </c>
    </row>
    <row r="19" spans="2:2" x14ac:dyDescent="0.3">
      <c r="B19" s="8" t="s">
        <v>45</v>
      </c>
    </row>
    <row r="20" spans="2:2" x14ac:dyDescent="0.3">
      <c r="B20" s="1" t="s">
        <v>64</v>
      </c>
    </row>
    <row r="21" spans="2:2" x14ac:dyDescent="0.3">
      <c r="B21" s="1" t="s">
        <v>65</v>
      </c>
    </row>
    <row r="22" spans="2:2" x14ac:dyDescent="0.3">
      <c r="B22" s="1" t="s">
        <v>73</v>
      </c>
    </row>
    <row r="23" spans="2:2" x14ac:dyDescent="0.3">
      <c r="B23" s="1" t="s">
        <v>74</v>
      </c>
    </row>
    <row r="24" spans="2:2" x14ac:dyDescent="0.3">
      <c r="B24" s="1" t="s">
        <v>75</v>
      </c>
    </row>
  </sheetData>
  <sheetProtection algorithmName="SHA-512" hashValue="jOS2GnYaKF6KlA9H08nbfNB6mcVNstaKSRUdeIKQX5GJIgyW1DQqar/n/mOYbryF1R9Q5IGky+Bi7NRT19DKIQ==" saltValue="7eYSZg46kc7il1dfGl7Vig==" spinCount="100000" sheet="1" objects="1" scenarios="1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o_Click">
                <anchor moveWithCells="1" sizeWithCells="1">
                  <from>
                    <xdr:col>1</xdr:col>
                    <xdr:colOff>12700</xdr:colOff>
                    <xdr:row>5</xdr:row>
                    <xdr:rowOff>158750</xdr:rowOff>
                  </from>
                  <to>
                    <xdr:col>1</xdr:col>
                    <xdr:colOff>914400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set_Click">
                <anchor moveWithCells="1" sizeWithCells="1">
                  <from>
                    <xdr:col>1</xdr:col>
                    <xdr:colOff>1143000</xdr:colOff>
                    <xdr:row>5</xdr:row>
                    <xdr:rowOff>152400</xdr:rowOff>
                  </from>
                  <to>
                    <xdr:col>2</xdr:col>
                    <xdr:colOff>603250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63F84-5E77-4636-9839-E817923EA36F}">
  <sheetPr codeName="Sheet2"/>
  <dimension ref="B2:J48"/>
  <sheetViews>
    <sheetView zoomScaleNormal="100" workbookViewId="0">
      <selection activeCell="G10" sqref="G10"/>
    </sheetView>
  </sheetViews>
  <sheetFormatPr defaultRowHeight="13" x14ac:dyDescent="0.3"/>
  <cols>
    <col min="1" max="1" width="2.54296875" style="1" customWidth="1"/>
    <col min="2" max="2" width="24.7265625" style="1" customWidth="1"/>
    <col min="3" max="3" width="23.90625" style="1" bestFit="1" customWidth="1"/>
    <col min="4" max="4" width="11.7265625" style="1" customWidth="1"/>
    <col min="5" max="5" width="4" style="1" customWidth="1"/>
    <col min="6" max="6" width="29.90625" style="1" customWidth="1"/>
    <col min="7" max="7" width="10.453125" style="1" customWidth="1"/>
    <col min="8" max="8" width="9.90625" style="1" bestFit="1" customWidth="1"/>
    <col min="9" max="9" width="15.7265625" style="1" bestFit="1" customWidth="1"/>
    <col min="10" max="10" width="14.08984375" style="1" bestFit="1" customWidth="1"/>
    <col min="11" max="16384" width="8.7265625" style="1"/>
  </cols>
  <sheetData>
    <row r="2" spans="2:10" x14ac:dyDescent="0.3">
      <c r="B2" s="3" t="s">
        <v>25</v>
      </c>
      <c r="C2" s="3"/>
      <c r="D2" s="3"/>
      <c r="F2" s="3" t="s">
        <v>26</v>
      </c>
      <c r="G2" s="3"/>
      <c r="H2" s="3"/>
      <c r="I2" s="3"/>
      <c r="J2" s="3"/>
    </row>
    <row r="3" spans="2:10" x14ac:dyDescent="0.3">
      <c r="B3" s="13" t="s">
        <v>30</v>
      </c>
      <c r="C3" s="13" t="s">
        <v>32</v>
      </c>
      <c r="D3" s="13" t="s">
        <v>31</v>
      </c>
      <c r="F3" s="1" t="s">
        <v>66</v>
      </c>
    </row>
    <row r="4" spans="2:10" x14ac:dyDescent="0.3">
      <c r="B4" s="1" t="s">
        <v>33</v>
      </c>
      <c r="C4" s="11" t="s">
        <v>62</v>
      </c>
      <c r="D4" s="12">
        <v>10000</v>
      </c>
      <c r="F4" s="1" t="s">
        <v>67</v>
      </c>
    </row>
    <row r="5" spans="2:10" x14ac:dyDescent="0.3">
      <c r="B5" s="1" t="s">
        <v>33</v>
      </c>
      <c r="C5" s="11" t="s">
        <v>62</v>
      </c>
      <c r="D5" s="12"/>
    </row>
    <row r="6" spans="2:10" x14ac:dyDescent="0.3">
      <c r="B6" s="1" t="s">
        <v>33</v>
      </c>
      <c r="C6" s="11" t="s">
        <v>62</v>
      </c>
      <c r="D6" s="12"/>
      <c r="F6" s="8" t="s">
        <v>70</v>
      </c>
    </row>
    <row r="7" spans="2:10" x14ac:dyDescent="0.3">
      <c r="B7" s="1" t="s">
        <v>33</v>
      </c>
      <c r="C7" s="11" t="s">
        <v>62</v>
      </c>
      <c r="D7" s="12"/>
      <c r="F7" s="1" t="s">
        <v>72</v>
      </c>
    </row>
    <row r="8" spans="2:10" x14ac:dyDescent="0.3">
      <c r="B8" s="1" t="s">
        <v>33</v>
      </c>
      <c r="C8" s="11" t="s">
        <v>62</v>
      </c>
      <c r="D8" s="12"/>
    </row>
    <row r="9" spans="2:10" x14ac:dyDescent="0.3">
      <c r="D9" s="14"/>
      <c r="F9" s="3" t="s">
        <v>71</v>
      </c>
      <c r="G9" s="3" t="s">
        <v>69</v>
      </c>
      <c r="H9" s="3" t="s">
        <v>13</v>
      </c>
      <c r="I9" s="3" t="s">
        <v>14</v>
      </c>
      <c r="J9" s="3" t="s">
        <v>15</v>
      </c>
    </row>
    <row r="10" spans="2:10" x14ac:dyDescent="0.3">
      <c r="B10" s="1" t="s">
        <v>19</v>
      </c>
      <c r="C10" s="11" t="s">
        <v>62</v>
      </c>
      <c r="D10" s="12">
        <v>10000</v>
      </c>
      <c r="F10" s="18" t="str">
        <f>Start!E4</f>
        <v>Bank account</v>
      </c>
      <c r="G10" s="21">
        <f>SUMIF(B:B, "Bank account", D:D)/IF(SUM(D:D) = 0, 1, SUM(D:D))</f>
        <v>0.125</v>
      </c>
      <c r="H10" s="20">
        <v>0.05</v>
      </c>
      <c r="I10" s="19">
        <f>H10*SUM(D:D)</f>
        <v>4000</v>
      </c>
      <c r="J10" s="19">
        <f>I10- SUMIF(B:B, "Bank account", D:D)</f>
        <v>-6000</v>
      </c>
    </row>
    <row r="11" spans="2:10" x14ac:dyDescent="0.3">
      <c r="B11" s="1" t="s">
        <v>19</v>
      </c>
      <c r="C11" s="11" t="s">
        <v>62</v>
      </c>
      <c r="D11" s="12"/>
      <c r="F11" s="18" t="str">
        <f>Start!E6</f>
        <v>Equity</v>
      </c>
      <c r="G11" s="21">
        <f>SUMIF(B:B, "Equity", D:D)/IF(SUM(D:D) = 0, 1, SUM(D:D))</f>
        <v>0.125</v>
      </c>
      <c r="H11" s="20">
        <v>0.2</v>
      </c>
      <c r="I11" s="19">
        <f>H11*SUM(D:D)</f>
        <v>16000</v>
      </c>
      <c r="J11" s="19">
        <f>I11- SUMIF(B:B, "Equity", D:D)</f>
        <v>6000</v>
      </c>
    </row>
    <row r="12" spans="2:10" x14ac:dyDescent="0.3">
      <c r="B12" s="1" t="s">
        <v>19</v>
      </c>
      <c r="C12" s="11" t="s">
        <v>62</v>
      </c>
      <c r="D12" s="12"/>
      <c r="F12" s="18" t="str">
        <f>Start!E7</f>
        <v>Mutual funds</v>
      </c>
      <c r="G12" s="21">
        <f>SUMIF(B:B, "Mutual funds", D:D)/IF(SUM(D:D) = 0, 1, SUM(D:D))</f>
        <v>0.125</v>
      </c>
      <c r="H12" s="20">
        <v>0.35</v>
      </c>
      <c r="I12" s="19">
        <f>H12*SUM(D:D)</f>
        <v>28000</v>
      </c>
      <c r="J12" s="19">
        <f>I12- SUMIF(B:B, "Mutual funds", D:D)</f>
        <v>18000</v>
      </c>
    </row>
    <row r="13" spans="2:10" x14ac:dyDescent="0.3">
      <c r="B13" s="1" t="s">
        <v>19</v>
      </c>
      <c r="C13" s="11" t="s">
        <v>62</v>
      </c>
      <c r="D13" s="12"/>
      <c r="F13" s="18" t="str">
        <f>Start!E9</f>
        <v>Public provident fund</v>
      </c>
      <c r="G13" s="21">
        <f>SUMIF(B:B, "Public provident fund", D:D)/IF(SUM(D:D) = 0, 1, SUM(D:D))</f>
        <v>0.125</v>
      </c>
      <c r="H13" s="20">
        <v>0.08</v>
      </c>
      <c r="I13" s="19">
        <f>H13*SUM(D:D)</f>
        <v>6400</v>
      </c>
      <c r="J13" s="19">
        <f>I13- SUMIF(B:B, "Public provident fund", D:D)</f>
        <v>-3600</v>
      </c>
    </row>
    <row r="14" spans="2:10" x14ac:dyDescent="0.3">
      <c r="B14" s="1" t="s">
        <v>19</v>
      </c>
      <c r="C14" s="11" t="s">
        <v>62</v>
      </c>
      <c r="D14" s="12"/>
      <c r="F14" s="18" t="str">
        <f>Start!E10</f>
        <v>Employee provident fund</v>
      </c>
      <c r="G14" s="21">
        <f>SUMIF(B:B, "Employee provident fund", D:D)/IF(SUM(D:D) = 0, 1, SUM(D:D))</f>
        <v>0.125</v>
      </c>
      <c r="H14" s="20">
        <v>0.08</v>
      </c>
      <c r="I14" s="19">
        <f>H14*SUM(D:D)</f>
        <v>6400</v>
      </c>
      <c r="J14" s="19">
        <f>I14- SUMIF(B:B, "Employee provident fund", D:D)</f>
        <v>-3600</v>
      </c>
    </row>
    <row r="15" spans="2:10" x14ac:dyDescent="0.3">
      <c r="C15" s="2"/>
      <c r="D15" s="15"/>
      <c r="F15" s="18" t="str">
        <f>Start!E8</f>
        <v>Supperannuation &amp; Gratuity</v>
      </c>
      <c r="G15" s="21">
        <f>SUMIF(B:B, "Supperannuation &amp; Gratuity", D:D)/IF(SUM(D:D) = 0, 1, SUM(D:D))</f>
        <v>0</v>
      </c>
      <c r="H15" s="20">
        <v>0.04</v>
      </c>
      <c r="I15" s="19">
        <f>H15*SUM(D:D)</f>
        <v>3200</v>
      </c>
      <c r="J15" s="19">
        <f>I15- SUMIF(B:B, "Supperannuation &amp; Gratuity", D:D)</f>
        <v>3200</v>
      </c>
    </row>
    <row r="16" spans="2:10" x14ac:dyDescent="0.3">
      <c r="B16" s="1" t="s">
        <v>3</v>
      </c>
      <c r="C16" s="11" t="s">
        <v>62</v>
      </c>
      <c r="D16" s="12">
        <v>10000</v>
      </c>
      <c r="F16" s="18" t="str">
        <f>Start!E5</f>
        <v>Fixed deposit</v>
      </c>
      <c r="G16" s="21">
        <f>SUMIF(B:B, "Fixed deposit", D:D)/IF(SUM(D:D) = 0, 1, SUM(D:D))</f>
        <v>0.125</v>
      </c>
      <c r="H16" s="20">
        <v>0.1</v>
      </c>
      <c r="I16" s="19">
        <f>H16*SUM(D:D)</f>
        <v>8000</v>
      </c>
      <c r="J16" s="19">
        <f>I16- SUMIF(B:B, "Fixed deposit", D:D)</f>
        <v>-2000</v>
      </c>
    </row>
    <row r="17" spans="2:10" x14ac:dyDescent="0.3">
      <c r="B17" s="1" t="s">
        <v>3</v>
      </c>
      <c r="C17" s="11" t="s">
        <v>62</v>
      </c>
      <c r="D17" s="12"/>
      <c r="F17" s="18" t="str">
        <f>Start!E11</f>
        <v>Bonds/NCDs</v>
      </c>
      <c r="G17" s="21">
        <f>SUMIF(B:B, "Bonds/NCDs", D:D)/IF(SUM(D:D) = 0, 1, SUM(D:D))</f>
        <v>0.125</v>
      </c>
      <c r="H17" s="20">
        <v>0.05</v>
      </c>
      <c r="I17" s="19">
        <f>H17*SUM(D:D)</f>
        <v>4000</v>
      </c>
      <c r="J17" s="19">
        <f>I17- SUMIF(B:B, "Bonds/NCDs", D:D)</f>
        <v>-6000</v>
      </c>
    </row>
    <row r="18" spans="2:10" x14ac:dyDescent="0.3">
      <c r="B18" s="1" t="s">
        <v>3</v>
      </c>
      <c r="C18" s="11" t="s">
        <v>62</v>
      </c>
      <c r="D18" s="12"/>
      <c r="F18" s="18" t="str">
        <f>Start!E12</f>
        <v>Gold ETF</v>
      </c>
      <c r="G18" s="21">
        <f>SUMIF(B:B, "Gold ETF", D:D)/IF(SUM(D:D) = 0, 1, SUM(D:D))</f>
        <v>0.125</v>
      </c>
      <c r="H18" s="20">
        <v>0.05</v>
      </c>
      <c r="I18" s="19">
        <f>H18*SUM(D:D)</f>
        <v>4000</v>
      </c>
      <c r="J18" s="19">
        <f>I18- SUMIF(B:B, "Gold ETF", D:D)</f>
        <v>-6000</v>
      </c>
    </row>
    <row r="19" spans="2:10" x14ac:dyDescent="0.3">
      <c r="B19" s="1" t="s">
        <v>3</v>
      </c>
      <c r="C19" s="11" t="s">
        <v>62</v>
      </c>
      <c r="D19" s="12"/>
    </row>
    <row r="20" spans="2:10" x14ac:dyDescent="0.3">
      <c r="B20" s="1" t="s">
        <v>3</v>
      </c>
      <c r="C20" s="11" t="s">
        <v>62</v>
      </c>
      <c r="D20" s="12"/>
      <c r="F20" s="23" t="s">
        <v>68</v>
      </c>
      <c r="G20" s="22">
        <f>SUM(G10:G18)</f>
        <v>1</v>
      </c>
      <c r="H20" s="22">
        <f>SUM(H10:H18)</f>
        <v>1</v>
      </c>
    </row>
    <row r="21" spans="2:10" x14ac:dyDescent="0.3">
      <c r="D21" s="14"/>
    </row>
    <row r="22" spans="2:10" x14ac:dyDescent="0.3">
      <c r="B22" s="1" t="s">
        <v>24</v>
      </c>
      <c r="C22" s="11" t="s">
        <v>36</v>
      </c>
      <c r="D22" s="12">
        <v>10000</v>
      </c>
    </row>
    <row r="23" spans="2:10" x14ac:dyDescent="0.3">
      <c r="B23" s="1" t="s">
        <v>24</v>
      </c>
      <c r="C23" s="11" t="s">
        <v>37</v>
      </c>
      <c r="D23" s="12"/>
    </row>
    <row r="24" spans="2:10" x14ac:dyDescent="0.3">
      <c r="D24" s="14"/>
    </row>
    <row r="25" spans="2:10" x14ac:dyDescent="0.3">
      <c r="B25" s="1" t="s">
        <v>17</v>
      </c>
      <c r="C25" s="11" t="s">
        <v>17</v>
      </c>
      <c r="D25" s="12">
        <v>10000</v>
      </c>
    </row>
    <row r="26" spans="2:10" x14ac:dyDescent="0.3">
      <c r="B26" s="1" t="s">
        <v>17</v>
      </c>
      <c r="C26" s="11" t="s">
        <v>9</v>
      </c>
      <c r="D26" s="12"/>
    </row>
    <row r="27" spans="2:10" x14ac:dyDescent="0.3">
      <c r="B27" s="1" t="s">
        <v>35</v>
      </c>
      <c r="C27" s="11" t="s">
        <v>4</v>
      </c>
      <c r="D27" s="12"/>
    </row>
    <row r="28" spans="2:10" x14ac:dyDescent="0.3">
      <c r="B28" s="1" t="s">
        <v>35</v>
      </c>
      <c r="C28" s="11" t="s">
        <v>16</v>
      </c>
      <c r="D28" s="12"/>
    </row>
    <row r="29" spans="2:10" x14ac:dyDescent="0.3">
      <c r="D29" s="14"/>
    </row>
    <row r="30" spans="2:10" x14ac:dyDescent="0.3">
      <c r="B30" s="1" t="s">
        <v>34</v>
      </c>
      <c r="C30" s="11" t="s">
        <v>38</v>
      </c>
      <c r="D30" s="12">
        <v>10000</v>
      </c>
    </row>
    <row r="31" spans="2:10" x14ac:dyDescent="0.3">
      <c r="B31" s="1" t="s">
        <v>34</v>
      </c>
      <c r="C31" s="11" t="s">
        <v>39</v>
      </c>
      <c r="D31" s="12"/>
    </row>
    <row r="32" spans="2:10" x14ac:dyDescent="0.3">
      <c r="B32" s="1" t="s">
        <v>34</v>
      </c>
      <c r="C32" s="11" t="s">
        <v>40</v>
      </c>
      <c r="D32" s="12"/>
    </row>
    <row r="33" spans="2:4" x14ac:dyDescent="0.3">
      <c r="B33" s="1" t="s">
        <v>34</v>
      </c>
      <c r="C33" s="11" t="s">
        <v>41</v>
      </c>
      <c r="D33" s="12"/>
    </row>
    <row r="34" spans="2:4" x14ac:dyDescent="0.3">
      <c r="B34" s="1" t="s">
        <v>34</v>
      </c>
      <c r="C34" s="11" t="s">
        <v>62</v>
      </c>
      <c r="D34" s="12"/>
    </row>
    <row r="35" spans="2:4" x14ac:dyDescent="0.3">
      <c r="D35" s="14"/>
    </row>
    <row r="36" spans="2:4" x14ac:dyDescent="0.3">
      <c r="B36" s="1" t="s">
        <v>28</v>
      </c>
      <c r="C36" s="11" t="s">
        <v>62</v>
      </c>
      <c r="D36" s="12"/>
    </row>
    <row r="37" spans="2:4" x14ac:dyDescent="0.3">
      <c r="B37" s="1" t="s">
        <v>28</v>
      </c>
      <c r="C37" s="11" t="s">
        <v>62</v>
      </c>
      <c r="D37" s="12"/>
    </row>
    <row r="38" spans="2:4" x14ac:dyDescent="0.3">
      <c r="B38" s="1" t="s">
        <v>28</v>
      </c>
      <c r="C38" s="11" t="s">
        <v>62</v>
      </c>
      <c r="D38" s="12"/>
    </row>
    <row r="39" spans="2:4" x14ac:dyDescent="0.3">
      <c r="B39" s="1" t="s">
        <v>28</v>
      </c>
      <c r="C39" s="11" t="s">
        <v>62</v>
      </c>
      <c r="D39" s="12"/>
    </row>
    <row r="40" spans="2:4" x14ac:dyDescent="0.3">
      <c r="B40" s="1" t="s">
        <v>28</v>
      </c>
      <c r="C40" s="11" t="s">
        <v>62</v>
      </c>
      <c r="D40" s="12"/>
    </row>
    <row r="41" spans="2:4" x14ac:dyDescent="0.3">
      <c r="D41" s="14"/>
    </row>
    <row r="42" spans="2:4" x14ac:dyDescent="0.3">
      <c r="B42" s="1" t="s">
        <v>5</v>
      </c>
      <c r="C42" s="11" t="s">
        <v>62</v>
      </c>
      <c r="D42" s="12">
        <v>10000</v>
      </c>
    </row>
    <row r="43" spans="2:4" x14ac:dyDescent="0.3">
      <c r="B43" s="1" t="s">
        <v>5</v>
      </c>
      <c r="C43" s="11" t="s">
        <v>62</v>
      </c>
      <c r="D43" s="12"/>
    </row>
    <row r="44" spans="2:4" x14ac:dyDescent="0.3">
      <c r="B44" s="1" t="s">
        <v>5</v>
      </c>
      <c r="C44" s="11" t="s">
        <v>62</v>
      </c>
      <c r="D44" s="12"/>
    </row>
    <row r="45" spans="2:4" x14ac:dyDescent="0.3">
      <c r="B45" s="1" t="s">
        <v>5</v>
      </c>
      <c r="C45" s="11" t="s">
        <v>62</v>
      </c>
      <c r="D45" s="12"/>
    </row>
    <row r="46" spans="2:4" x14ac:dyDescent="0.3">
      <c r="B46" s="1" t="s">
        <v>5</v>
      </c>
      <c r="C46" s="11" t="s">
        <v>62</v>
      </c>
      <c r="D46" s="12"/>
    </row>
    <row r="48" spans="2:4" x14ac:dyDescent="0.3">
      <c r="B48" s="1" t="s">
        <v>8</v>
      </c>
      <c r="C48" s="11" t="s">
        <v>8</v>
      </c>
      <c r="D48" s="12">
        <v>10000</v>
      </c>
    </row>
  </sheetData>
  <sheetProtection algorithmName="SHA-512" hashValue="TQRDHtdCqv/Wt4TL2+hQUqua/WkdgVxSJtSV7/DLf4GaO+fPWS9NWKwzl405zinlQvUj4WzFl4SguBLPpB3pbQ==" saltValue="n1vzqg7MMNrmkYBlPd/sDA==" spinCount="100000"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4BAD03-28B2-4EF1-BE1C-8CA1A7D74717}">
          <x14:formula1>
            <xm:f>Start!$E$4:$E$12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1:O3"/>
  <sheetViews>
    <sheetView workbookViewId="0">
      <pane ySplit="3" topLeftCell="A4" activePane="bottomLeft" state="frozen"/>
      <selection pane="bottomLeft" activeCell="E14" sqref="E14"/>
    </sheetView>
  </sheetViews>
  <sheetFormatPr defaultColWidth="12.54296875" defaultRowHeight="15" customHeight="1" x14ac:dyDescent="0.25"/>
  <cols>
    <col min="1" max="1" width="5.1796875" style="2" customWidth="1"/>
    <col min="2" max="2" width="7.453125" style="2" bestFit="1" customWidth="1"/>
    <col min="3" max="3" width="6.81640625" style="2" bestFit="1" customWidth="1"/>
    <col min="4" max="4" width="11.90625" style="5" bestFit="1" customWidth="1"/>
    <col min="5" max="5" width="11.81640625" style="5" bestFit="1" customWidth="1"/>
    <col min="6" max="6" width="8.7265625" style="5" customWidth="1"/>
    <col min="7" max="7" width="12.54296875" style="5" customWidth="1"/>
    <col min="8" max="8" width="15.54296875" style="5" customWidth="1"/>
    <col min="9" max="9" width="14.54296875" style="5" customWidth="1"/>
    <col min="10" max="10" width="14.1796875" style="5" customWidth="1"/>
    <col min="11" max="11" width="11.26953125" style="5" bestFit="1" customWidth="1"/>
    <col min="12" max="12" width="9.81640625" style="5" customWidth="1"/>
    <col min="13" max="13" width="10.36328125" style="5" customWidth="1"/>
    <col min="14" max="14" width="10.54296875" style="5" customWidth="1"/>
    <col min="15" max="15" width="9.7265625" style="2" bestFit="1" customWidth="1"/>
    <col min="16" max="16" width="4.26953125" style="2" customWidth="1"/>
    <col min="17" max="17" width="36.54296875" style="2" customWidth="1"/>
    <col min="18" max="18" width="15.453125" style="2" customWidth="1"/>
    <col min="19" max="16384" width="12.54296875" style="2"/>
  </cols>
  <sheetData>
    <row r="1" spans="2:15" ht="15.75" customHeight="1" x14ac:dyDescent="0.25"/>
    <row r="2" spans="2:15" ht="15.75" customHeight="1" x14ac:dyDescent="0.3">
      <c r="B2" s="34" t="s">
        <v>1</v>
      </c>
      <c r="C2" s="34" t="s">
        <v>2</v>
      </c>
      <c r="D2" s="33" t="s">
        <v>42</v>
      </c>
      <c r="E2" s="33"/>
      <c r="F2" s="33"/>
      <c r="G2" s="33"/>
      <c r="H2" s="33"/>
      <c r="I2" s="33"/>
      <c r="J2" s="33"/>
      <c r="K2" s="33"/>
      <c r="L2" s="33"/>
      <c r="M2" s="27" t="s">
        <v>43</v>
      </c>
      <c r="N2" s="29" t="s">
        <v>11</v>
      </c>
      <c r="O2" s="31" t="s">
        <v>12</v>
      </c>
    </row>
    <row r="3" spans="2:15" s="4" customFormat="1" ht="26" x14ac:dyDescent="0.25">
      <c r="B3" s="34"/>
      <c r="C3" s="34"/>
      <c r="D3" s="6" t="str">
        <f>Start!E4</f>
        <v>Bank account</v>
      </c>
      <c r="E3" s="6" t="str">
        <f>Start!E5</f>
        <v>Fixed deposit</v>
      </c>
      <c r="F3" s="6" t="str">
        <f>Start!E6</f>
        <v>Equity</v>
      </c>
      <c r="G3" s="6" t="str">
        <f>Start!E7</f>
        <v>Mutual funds</v>
      </c>
      <c r="H3" s="6" t="str">
        <f>Start!E8</f>
        <v>Supperannuation &amp; Gratuity</v>
      </c>
      <c r="I3" s="6" t="str">
        <f>Start!E9</f>
        <v>Public provident fund</v>
      </c>
      <c r="J3" s="6" t="str">
        <f>Start!E10</f>
        <v>Employee provident fund</v>
      </c>
      <c r="K3" s="6" t="str">
        <f>Start!E11</f>
        <v>Bonds/NCDs</v>
      </c>
      <c r="L3" s="6" t="str">
        <f>Start!E12</f>
        <v>Gold ETF</v>
      </c>
      <c r="M3" s="28"/>
      <c r="N3" s="30"/>
      <c r="O3" s="32"/>
    </row>
  </sheetData>
  <sheetProtection algorithmName="SHA-512" hashValue="W4uz3gFQhAbFCXkIRkb3RupU9kG1SKOdQ1IVm11hWfiq5mUfh7Wij0F+CThXmfGUC5eFiywMSOJtXo9TQU/lOg==" saltValue="gCSU9TzwMiidTgR80eDPdQ==" spinCount="100000" sheet="1" objects="1" scenarios="1"/>
  <mergeCells count="6">
    <mergeCell ref="M2:M3"/>
    <mergeCell ref="N2:N3"/>
    <mergeCell ref="O2:O3"/>
    <mergeCell ref="D2:L2"/>
    <mergeCell ref="B2:B3"/>
    <mergeCell ref="C2:C3"/>
  </mergeCells>
  <phoneticPr fontId="1" type="noConversion"/>
  <pageMargins left="0" right="0" top="0" bottom="0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B1:AE869"/>
  <sheetViews>
    <sheetView zoomScaleNormal="100" workbookViewId="0">
      <pane xSplit="3" ySplit="3" topLeftCell="V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ColWidth="12.54296875" defaultRowHeight="15" customHeight="1" x14ac:dyDescent="0.3"/>
  <cols>
    <col min="1" max="1" width="5" style="1" customWidth="1"/>
    <col min="2" max="3" width="7.54296875" style="25" bestFit="1" customWidth="1"/>
    <col min="4" max="5" width="13.26953125" style="26" customWidth="1"/>
    <col min="6" max="6" width="13.453125" style="26" customWidth="1"/>
    <col min="7" max="7" width="14.08984375" style="26" customWidth="1"/>
    <col min="8" max="8" width="12.26953125" style="26" customWidth="1"/>
    <col min="9" max="9" width="13.08984375" style="26" bestFit="1" customWidth="1"/>
    <col min="10" max="10" width="10.08984375" style="26" customWidth="1"/>
    <col min="11" max="11" width="12.26953125" style="26" bestFit="1" customWidth="1"/>
    <col min="12" max="12" width="14.6328125" style="26" bestFit="1" customWidth="1"/>
    <col min="13" max="13" width="14.08984375" style="26" customWidth="1"/>
    <col min="14" max="14" width="13.7265625" style="26" customWidth="1"/>
    <col min="15" max="15" width="11.36328125" style="26" bestFit="1" customWidth="1"/>
    <col min="16" max="16" width="11.36328125" style="26" customWidth="1"/>
    <col min="17" max="17" width="9.54296875" style="26" customWidth="1"/>
    <col min="18" max="18" width="13.81640625" style="26" customWidth="1"/>
    <col min="19" max="19" width="12.90625" style="26" customWidth="1"/>
    <col min="20" max="20" width="10.54296875" style="26" customWidth="1"/>
    <col min="21" max="21" width="11.1796875" style="26" bestFit="1" customWidth="1"/>
    <col min="22" max="22" width="16.90625" style="26" customWidth="1"/>
    <col min="23" max="23" width="15.7265625" style="26" customWidth="1"/>
    <col min="24" max="24" width="15.90625" style="26" customWidth="1"/>
    <col min="25" max="25" width="11.26953125" style="26" customWidth="1"/>
    <col min="26" max="26" width="12.26953125" style="26" bestFit="1" customWidth="1"/>
    <col min="27" max="27" width="8.36328125" style="26" bestFit="1" customWidth="1"/>
    <col min="28" max="28" width="8.90625" style="26" customWidth="1"/>
    <col min="29" max="29" width="10.90625" style="26" customWidth="1"/>
    <col min="30" max="30" width="10.54296875" style="26" customWidth="1"/>
    <col min="31" max="31" width="14.90625" style="16" bestFit="1" customWidth="1"/>
    <col min="32" max="16384" width="12.54296875" style="1"/>
  </cols>
  <sheetData>
    <row r="1" spans="2:31" ht="15.75" customHeight="1" x14ac:dyDescent="0.3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2:31" ht="15.75" customHeight="1" x14ac:dyDescent="0.3">
      <c r="B2" s="34" t="s">
        <v>1</v>
      </c>
      <c r="C2" s="34" t="s">
        <v>2</v>
      </c>
      <c r="D2" s="36" t="s">
        <v>18</v>
      </c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5" t="s">
        <v>20</v>
      </c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6" t="s">
        <v>0</v>
      </c>
    </row>
    <row r="3" spans="2:31" ht="26" x14ac:dyDescent="0.3">
      <c r="B3" s="34"/>
      <c r="C3" s="34"/>
      <c r="D3" s="6" t="s">
        <v>46</v>
      </c>
      <c r="E3" s="6" t="s">
        <v>47</v>
      </c>
      <c r="F3" s="6" t="s">
        <v>48</v>
      </c>
      <c r="G3" s="6" t="s">
        <v>49</v>
      </c>
      <c r="H3" s="6" t="str">
        <f>Start!E4</f>
        <v>Bank account</v>
      </c>
      <c r="I3" s="6" t="str">
        <f>Start!E5</f>
        <v>Fixed deposit</v>
      </c>
      <c r="J3" s="6" t="str">
        <f>Start!E6</f>
        <v>Equity</v>
      </c>
      <c r="K3" s="6" t="str">
        <f>Start!E7</f>
        <v>Mutual funds</v>
      </c>
      <c r="L3" s="6" t="str">
        <f>Start!E8</f>
        <v>Supperannuation &amp; Gratuity</v>
      </c>
      <c r="M3" s="6" t="str">
        <f>Start!E9</f>
        <v>Public provident fund</v>
      </c>
      <c r="N3" s="6" t="str">
        <f>Start!E10</f>
        <v>Employee provident fund</v>
      </c>
      <c r="O3" s="6" t="str">
        <f>Start!E11</f>
        <v>Bonds/NCDs</v>
      </c>
      <c r="P3" s="6" t="str">
        <f>Start!E12</f>
        <v>Gold ETF</v>
      </c>
      <c r="Q3" s="6" t="s">
        <v>6</v>
      </c>
      <c r="R3" s="7" t="str">
        <f>Start!H10</f>
        <v>Public provident fund</v>
      </c>
      <c r="S3" s="7" t="s">
        <v>51</v>
      </c>
      <c r="T3" s="7" t="s">
        <v>52</v>
      </c>
      <c r="U3" s="7" t="s">
        <v>53</v>
      </c>
      <c r="V3" s="7" t="s">
        <v>54</v>
      </c>
      <c r="W3" s="7" t="s">
        <v>55</v>
      </c>
      <c r="X3" s="7" t="s">
        <v>56</v>
      </c>
      <c r="Y3" s="7" t="s">
        <v>7</v>
      </c>
      <c r="Z3" s="7" t="str">
        <f>Start!H6</f>
        <v>Mutual funds</v>
      </c>
      <c r="AA3" s="7" t="str">
        <f>Start!H7</f>
        <v>Gold ETF</v>
      </c>
      <c r="AB3" s="7" t="str">
        <f>Start!H8</f>
        <v>NPS</v>
      </c>
      <c r="AC3" s="7" t="str">
        <f>Start!H11</f>
        <v>Bonds/NCDs</v>
      </c>
      <c r="AD3" s="7" t="str">
        <f>Start!H9</f>
        <v>Education</v>
      </c>
      <c r="AE3" s="36"/>
    </row>
    <row r="4" spans="2:31" ht="15.75" customHeight="1" x14ac:dyDescent="0.3">
      <c r="AE4" s="17"/>
    </row>
    <row r="5" spans="2:31" ht="15.75" customHeight="1" x14ac:dyDescent="0.3"/>
    <row r="6" spans="2:31" ht="15.75" customHeight="1" x14ac:dyDescent="0.3"/>
    <row r="7" spans="2:31" ht="15.75" customHeight="1" x14ac:dyDescent="0.3"/>
    <row r="8" spans="2:31" ht="15.75" customHeight="1" x14ac:dyDescent="0.3"/>
    <row r="9" spans="2:31" ht="15.75" customHeight="1" x14ac:dyDescent="0.3"/>
    <row r="10" spans="2:31" ht="15.75" customHeight="1" x14ac:dyDescent="0.3"/>
    <row r="11" spans="2:31" ht="15.75" customHeight="1" x14ac:dyDescent="0.3"/>
    <row r="12" spans="2:31" ht="15.75" customHeight="1" x14ac:dyDescent="0.3"/>
    <row r="13" spans="2:31" ht="15.75" customHeight="1" x14ac:dyDescent="0.3"/>
    <row r="14" spans="2:31" ht="15.75" customHeight="1" x14ac:dyDescent="0.3"/>
    <row r="15" spans="2:31" ht="15.75" customHeight="1" x14ac:dyDescent="0.3"/>
    <row r="16" spans="2:31" ht="15.75" customHeight="1" x14ac:dyDescent="0.3"/>
    <row r="17" ht="15.75" customHeight="1" x14ac:dyDescent="0.3"/>
    <row r="18" ht="15.75" customHeight="1" x14ac:dyDescent="0.3"/>
    <row r="19" ht="15.75" customHeight="1" x14ac:dyDescent="0.3"/>
    <row r="20" ht="15.75" customHeight="1" x14ac:dyDescent="0.3"/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</sheetData>
  <sheetProtection algorithmName="SHA-512" hashValue="7fQxqR75eDekq/ZyGNbVzb0JBPhApgGAW8IN/4cKAdGeKubGQsg1g4vhpMSd/LRGJRRiQXHHlVhIP9rm6dYb3Q==" saltValue="C3kc9kv1FZmz6Hq7VP87GQ==" spinCount="100000" sheet="1" objects="1" scenarios="1"/>
  <mergeCells count="5">
    <mergeCell ref="R2:AD2"/>
    <mergeCell ref="B2:B3"/>
    <mergeCell ref="C2:C3"/>
    <mergeCell ref="D2:Q2"/>
    <mergeCell ref="AE2:AE3"/>
  </mergeCells>
  <pageMargins left="0" right="0" top="0" bottom="0" header="0" footer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Details</vt:lpstr>
      <vt:lpstr>Actuals</vt:lpstr>
      <vt:lpstr>Projections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Jaydeep Ayachit</dc:creator>
  <cp:keywords/>
  <dc:description/>
  <cp:lastModifiedBy>Jaydeep Vijay Ayachit</cp:lastModifiedBy>
  <cp:revision/>
  <dcterms:created xsi:type="dcterms:W3CDTF">2023-07-15T05:23:02Z</dcterms:created>
  <dcterms:modified xsi:type="dcterms:W3CDTF">2025-02-17T07:03:17Z</dcterms:modified>
  <cp:category/>
  <cp:contentStatus/>
</cp:coreProperties>
</file>